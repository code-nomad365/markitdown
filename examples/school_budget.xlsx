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預算總覽" sheetId="1" state="visible" r:id="rId1"/>
    <sheet xmlns:r="http://schemas.openxmlformats.org/officeDocument/2006/relationships" name="教學支出明細" sheetId="2" state="visible" r:id="rId2"/>
    <sheet xmlns:r="http://schemas.openxmlformats.org/officeDocument/2006/relationships" name="預算執行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明德國小 2024 年度預算總覽</t>
        </is>
      </c>
    </row>
    <row r="3">
      <c r="A3" s="2" t="inlineStr">
        <is>
          <t>預算類別</t>
        </is>
      </c>
      <c r="B3" s="2" t="inlineStr">
        <is>
          <t>第一季</t>
        </is>
      </c>
      <c r="C3" s="2" t="inlineStr">
        <is>
          <t>第二季</t>
        </is>
      </c>
      <c r="D3" s="2" t="inlineStr">
        <is>
          <t>第三季</t>
        </is>
      </c>
      <c r="E3" s="2" t="inlineStr">
        <is>
          <t>第四季</t>
        </is>
      </c>
      <c r="F3" s="2" t="inlineStr">
        <is>
          <t>年度總計</t>
        </is>
      </c>
    </row>
    <row r="4">
      <c r="A4" t="inlineStr">
        <is>
          <t>教學支出</t>
        </is>
      </c>
      <c r="B4" s="3" t="n">
        <v>450000</v>
      </c>
      <c r="C4" s="3" t="n">
        <v>480000</v>
      </c>
      <c r="D4" s="3" t="n">
        <v>460000</v>
      </c>
      <c r="E4" s="3" t="n">
        <v>490000</v>
      </c>
      <c r="F4" s="3">
        <f>SUM(B4:E4)</f>
        <v/>
      </c>
    </row>
    <row r="5">
      <c r="A5" t="inlineStr">
        <is>
          <t>行政支出</t>
        </is>
      </c>
      <c r="B5" s="3" t="n">
        <v>180000</v>
      </c>
      <c r="C5" s="3" t="n">
        <v>190000</v>
      </c>
      <c r="D5" s="3" t="n">
        <v>185000</v>
      </c>
      <c r="E5" s="3" t="n">
        <v>195000</v>
      </c>
      <c r="F5" s="3">
        <f>SUM(B5:E5)</f>
        <v/>
      </c>
    </row>
    <row r="6">
      <c r="A6" t="inlineStr">
        <is>
          <t>設施維護</t>
        </is>
      </c>
      <c r="B6" s="3" t="n">
        <v>120000</v>
      </c>
      <c r="C6" s="3" t="n">
        <v>150000</v>
      </c>
      <c r="D6" s="3" t="n">
        <v>140000</v>
      </c>
      <c r="E6" s="3" t="n">
        <v>130000</v>
      </c>
      <c r="F6" s="3">
        <f>SUM(B6:E6)</f>
        <v/>
      </c>
    </row>
    <row r="7">
      <c r="A7" t="inlineStr">
        <is>
          <t>活動經費</t>
        </is>
      </c>
      <c r="B7" s="3" t="n">
        <v>80000</v>
      </c>
      <c r="C7" s="3" t="n">
        <v>90000</v>
      </c>
      <c r="D7" s="3" t="n">
        <v>100000</v>
      </c>
      <c r="E7" s="3" t="n">
        <v>85000</v>
      </c>
      <c r="F7" s="3">
        <f>SUM(B7:E7)</f>
        <v/>
      </c>
    </row>
    <row r="8">
      <c r="A8" t="inlineStr">
        <is>
          <t>其他支出</t>
        </is>
      </c>
      <c r="B8" s="3" t="n">
        <v>50000</v>
      </c>
      <c r="C8" s="3" t="n">
        <v>55000</v>
      </c>
      <c r="D8" s="3" t="n">
        <v>52000</v>
      </c>
      <c r="E8" s="3" t="n">
        <v>58000</v>
      </c>
      <c r="F8" s="3">
        <f>SUM(B8:E8)</f>
        <v/>
      </c>
    </row>
    <row r="9">
      <c r="A9" s="4" t="inlineStr">
        <is>
          <t>總計</t>
        </is>
      </c>
      <c r="B9" s="5">
        <f>SUM(B4:B8)</f>
        <v/>
      </c>
      <c r="C9" s="5">
        <f>SUM(C4:C8)</f>
        <v/>
      </c>
      <c r="D9" s="5">
        <f>SUM(D4:D8)</f>
        <v/>
      </c>
      <c r="E9" s="5">
        <f>SUM(E4:E8)</f>
        <v/>
      </c>
      <c r="F9" s="5">
        <f>SUM(F4:F8)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</cols>
  <sheetData>
    <row r="1">
      <c r="A1" s="1" t="inlineStr">
        <is>
          <t>教學支出明細表</t>
        </is>
      </c>
    </row>
    <row r="3">
      <c r="A3" s="6" t="inlineStr">
        <is>
          <t>項目</t>
        </is>
      </c>
      <c r="B3" s="6" t="inlineStr">
        <is>
          <t>預算金額</t>
        </is>
      </c>
      <c r="C3" s="6" t="inlineStr">
        <is>
          <t>備註</t>
        </is>
      </c>
    </row>
    <row r="4">
      <c r="A4" t="inlineStr">
        <is>
          <t>教科書費</t>
        </is>
      </c>
      <c r="B4" s="3" t="n">
        <v>520000</v>
      </c>
      <c r="C4" t="inlineStr">
        <is>
          <t>各年級教科書採購</t>
        </is>
      </c>
    </row>
    <row r="5">
      <c r="A5" t="inlineStr">
        <is>
          <t>教材教具</t>
        </is>
      </c>
      <c r="B5" s="3" t="n">
        <v>380000</v>
      </c>
      <c r="C5" t="inlineStr">
        <is>
          <t>實驗器材、教學設備</t>
        </is>
      </c>
    </row>
    <row r="6">
      <c r="A6" t="inlineStr">
        <is>
          <t>教師培訓</t>
        </is>
      </c>
      <c r="B6" s="3" t="n">
        <v>280000</v>
      </c>
      <c r="C6" t="inlineStr">
        <is>
          <t>專業發展課程</t>
        </is>
      </c>
    </row>
    <row r="7">
      <c r="A7" t="inlineStr">
        <is>
          <t>電腦軟體</t>
        </is>
      </c>
      <c r="B7" s="3" t="n">
        <v>150000</v>
      </c>
      <c r="C7" t="inlineStr">
        <is>
          <t>教學軟體授權</t>
        </is>
      </c>
    </row>
    <row r="8">
      <c r="A8" t="inlineStr">
        <is>
          <t>圖書採購</t>
        </is>
      </c>
      <c r="B8" s="3" t="n">
        <v>220000</v>
      </c>
      <c r="C8" t="inlineStr">
        <is>
          <t>圖書館新書購置</t>
        </is>
      </c>
    </row>
    <row r="9">
      <c r="A9" t="inlineStr">
        <is>
          <t>文具用品</t>
        </is>
      </c>
      <c r="B9" s="3" t="n">
        <v>330000</v>
      </c>
      <c r="C9" t="inlineStr">
        <is>
          <t>師生教學文具</t>
        </is>
      </c>
    </row>
    <row r="10">
      <c r="A10" s="4" t="inlineStr">
        <is>
          <t>小計</t>
        </is>
      </c>
      <c r="B10" s="5">
        <f>SUM(B4:B9)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預算執行狀況（截至第二季）</t>
        </is>
      </c>
    </row>
    <row r="3">
      <c r="A3" s="6" t="inlineStr">
        <is>
          <t>類別</t>
        </is>
      </c>
      <c r="B3" s="6" t="inlineStr">
        <is>
          <t>預算金額</t>
        </is>
      </c>
      <c r="C3" s="6" t="inlineStr">
        <is>
          <t>實際支出</t>
        </is>
      </c>
      <c r="D3" s="6" t="inlineStr">
        <is>
          <t>執行率</t>
        </is>
      </c>
    </row>
    <row r="4">
      <c r="A4" t="inlineStr">
        <is>
          <t>教學支出</t>
        </is>
      </c>
      <c r="B4" s="3" t="n">
        <v>930000</v>
      </c>
      <c r="C4" s="3" t="n">
        <v>875000</v>
      </c>
      <c r="D4" s="7">
        <f>C4/B4</f>
        <v/>
      </c>
    </row>
    <row r="5">
      <c r="A5" t="inlineStr">
        <is>
          <t>行政支出</t>
        </is>
      </c>
      <c r="B5" s="3" t="n">
        <v>370000</v>
      </c>
      <c r="C5" s="3" t="n">
        <v>355000</v>
      </c>
      <c r="D5" s="7">
        <f>C5/B5</f>
        <v/>
      </c>
    </row>
    <row r="6">
      <c r="A6" t="inlineStr">
        <is>
          <t>設施維護</t>
        </is>
      </c>
      <c r="B6" s="3" t="n">
        <v>270000</v>
      </c>
      <c r="C6" s="3" t="n">
        <v>245000</v>
      </c>
      <c r="D6" s="7">
        <f>C6/B6</f>
        <v/>
      </c>
    </row>
    <row r="7">
      <c r="A7" t="inlineStr">
        <is>
          <t>活動經費</t>
        </is>
      </c>
      <c r="B7" s="3" t="n">
        <v>170000</v>
      </c>
      <c r="C7" s="3" t="n">
        <v>162000</v>
      </c>
      <c r="D7" s="7">
        <f>C7/B7</f>
        <v/>
      </c>
    </row>
    <row r="8">
      <c r="A8" t="inlineStr">
        <is>
          <t>其他支出</t>
        </is>
      </c>
      <c r="B8" s="3" t="n">
        <v>105000</v>
      </c>
      <c r="C8" s="3" t="n">
        <v>98000</v>
      </c>
      <c r="D8" s="7">
        <f>C8/B8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2025-12-03T12:19:41Z</dcterms:created>
  <dcterms:modified xmlns:dcterms="http://purl.org/dc/terms/" xmlns:xsi="http://www.w3.org/2001/XMLSchema-instance" xsi:type="dcterms:W3CDTF">2025-12-03T12:19:41Z</dcterms:modified>
</cp:coreProperties>
</file>